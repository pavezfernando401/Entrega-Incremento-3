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<sst xmlns="http://schemas.openxmlformats.org/spreadsheetml/2006/main" count="12" uniqueCount="7">
  <si>
    <t>Incremento 1</t>
  </si>
  <si>
    <t>Incremento 2</t>
  </si>
  <si>
    <t>Incremento 3</t>
  </si>
  <si>
    <t>Burn Down Ideal</t>
  </si>
  <si>
    <t>Horas Restantes</t>
  </si>
  <si>
    <t>Burn-Down Ideal</t>
  </si>
  <si>
    <t>Acumulado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</si>
</sst>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434343"/>
      <name val="Roboto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vertical="bottom"/>
    </xf>
    <xf borderId="0" fillId="2" fontId="3" numFmtId="0" xfId="0" applyAlignment="1" applyFill="1" applyFont="1">
      <alignment vertical="bottom"/>
    </xf>
    <xf borderId="0" fillId="0" fontId="3" numFmtId="0" xfId="0" applyAlignment="1" applyFont="1">
      <alignment vertical="bottom"/>
    </xf>
    <xf borderId="0" fillId="3" fontId="2" numFmtId="0" xfId="0" applyAlignment="1" applyFill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2" xfId="0" applyAlignment="1" applyFont="1" applyNumberFormat="1">
      <alignment horizontal="right" vertical="bottom"/>
    </xf>
    <xf borderId="1" fillId="2" fontId="1" numFmtId="0" xfId="0" applyAlignment="1" applyBorder="1" applyFill="1" applyFont="1">
      <alignment readingOrder="0"/>
    </xf>
    <xf borderId="1" fillId="0" fontId="1" numFmtId="0" xfId="0" applyAlignment="1" applyBorder="1" applyFont="1">
      <alignment readingOrder="0"/>
    </xf>
    <xf borderId="1" fillId="0" fontId="1" numFmtId="2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Gráfico Burn-Down Acumulado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'Hoja 1'!$D$12:$D$13</c:f>
            </c:strRef>
          </c:tx>
          <c:spPr>
            <a:ln cmpd="sng">
              <a:solidFill>
                <a:srgbClr val="E2E340">
                  <a:alpha val="100000"/>
                </a:srgbClr>
              </a:solidFill>
              <a:prstDash val="sysDot"/>
            </a:ln>
          </c:spPr>
          <c:marker>
            <c:symbol val="none"/>
          </c:marker>
          <c:val>
            <c:numRef>
              <c:f>'Hoja 1'!$D$14:$D$31</c:f>
              <c:numCache/>
            </c:numRef>
          </c:val>
          <c:smooth val="0"/>
        </c:ser>
        <c:ser>
          <c:idx val="1"/>
          <c:order val="1"/>
          <c:tx>
            <c:strRef>
              <c:f>'Hoja 1'!$E$12:$E$13</c:f>
            </c:strRef>
          </c:tx>
          <c:spPr>
            <a:ln cmpd="sng">
              <a:solidFill>
                <a:srgbClr val="28ABC7">
                  <a:alpha val="100000"/>
                </a:srgbClr>
              </a:solidFill>
            </a:ln>
          </c:spPr>
          <c:marker>
            <c:symbol val="none"/>
          </c:marker>
          <c:val>
            <c:numRef>
              <c:f>'Hoja 1'!$E$14:$E$31</c:f>
              <c:numCache/>
            </c:numRef>
          </c:val>
          <c:smooth val="0"/>
        </c:ser>
        <c:axId val="1623419094"/>
        <c:axId val="951277130"/>
      </c:lineChart>
      <c:catAx>
        <c:axId val="162341909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51277130"/>
      </c:catAx>
      <c:valAx>
        <c:axId val="95127713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Horas Restantes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2341909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228600</xdr:colOff>
      <xdr:row>10</xdr:row>
      <xdr:rowOff>190500</xdr:rowOff>
    </xdr:from>
    <xdr:ext cx="5715000" cy="353377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88"/>
    <col customWidth="1" min="3" max="3" width="14.25"/>
  </cols>
  <sheetData>
    <row r="2">
      <c r="A2" s="1" t="s">
        <v>0</v>
      </c>
      <c r="D2" s="1" t="s">
        <v>1</v>
      </c>
      <c r="G2" s="1" t="s">
        <v>2</v>
      </c>
    </row>
    <row r="3">
      <c r="A3" s="2" t="s">
        <v>3</v>
      </c>
      <c r="B3" s="2" t="s">
        <v>4</v>
      </c>
      <c r="D3" s="3" t="s">
        <v>5</v>
      </c>
      <c r="E3" s="3" t="s">
        <v>4</v>
      </c>
      <c r="G3" s="4" t="s">
        <v>5</v>
      </c>
      <c r="H3" s="4" t="s">
        <v>4</v>
      </c>
    </row>
    <row r="4">
      <c r="A4" s="5">
        <v>256.0</v>
      </c>
      <c r="B4" s="5">
        <v>256.0</v>
      </c>
      <c r="D4" s="6">
        <v>140.0</v>
      </c>
      <c r="E4" s="6">
        <v>140.0</v>
      </c>
      <c r="G4" s="7">
        <v>112.0</v>
      </c>
      <c r="H4" s="6">
        <v>112.0</v>
      </c>
    </row>
    <row r="5">
      <c r="A5" s="5">
        <v>204.8</v>
      </c>
      <c r="B5" s="5">
        <v>239.0</v>
      </c>
      <c r="D5" s="7">
        <f>140-(140/6)</f>
        <v>116.6666667</v>
      </c>
      <c r="E5" s="6">
        <v>129.0</v>
      </c>
      <c r="G5" s="7">
        <f>112-(112/6)</f>
        <v>93.33333333</v>
      </c>
      <c r="H5" s="6">
        <v>95.0</v>
      </c>
    </row>
    <row r="6">
      <c r="A6" s="5">
        <v>153.6</v>
      </c>
      <c r="B6" s="5">
        <v>169.0</v>
      </c>
      <c r="D6" s="7">
        <f t="shared" ref="D6:D10" si="1">D5-(140/6)</f>
        <v>93.33333333</v>
      </c>
      <c r="E6" s="6">
        <v>99.0</v>
      </c>
      <c r="G6" s="7">
        <f t="shared" ref="G6:G10" si="2">G5-(112/6)</f>
        <v>74.66666667</v>
      </c>
      <c r="H6" s="6">
        <v>68.0</v>
      </c>
    </row>
    <row r="7">
      <c r="A7" s="5">
        <v>102.4</v>
      </c>
      <c r="B7" s="5">
        <v>125.0</v>
      </c>
      <c r="D7" s="7">
        <f t="shared" si="1"/>
        <v>70</v>
      </c>
      <c r="E7" s="6">
        <v>86.0</v>
      </c>
      <c r="G7" s="7">
        <f t="shared" si="2"/>
        <v>56</v>
      </c>
      <c r="H7" s="6">
        <v>50.0</v>
      </c>
    </row>
    <row r="8">
      <c r="A8" s="5">
        <v>51.2</v>
      </c>
      <c r="B8" s="5">
        <v>83.0</v>
      </c>
      <c r="D8" s="7">
        <f t="shared" si="1"/>
        <v>46.66666667</v>
      </c>
      <c r="E8" s="6">
        <v>58.0</v>
      </c>
      <c r="G8" s="7">
        <f t="shared" si="2"/>
        <v>37.33333333</v>
      </c>
      <c r="H8" s="6">
        <v>27.0</v>
      </c>
    </row>
    <row r="9">
      <c r="A9" s="5">
        <v>0.0</v>
      </c>
      <c r="B9" s="5">
        <v>0.0</v>
      </c>
      <c r="D9" s="7">
        <f t="shared" si="1"/>
        <v>23.33333333</v>
      </c>
      <c r="E9" s="6">
        <v>7.0</v>
      </c>
      <c r="G9" s="7">
        <f t="shared" si="2"/>
        <v>18.66666667</v>
      </c>
      <c r="H9" s="6">
        <v>6.0</v>
      </c>
    </row>
    <row r="10">
      <c r="D10" s="7">
        <f t="shared" si="1"/>
        <v>0</v>
      </c>
      <c r="E10" s="6">
        <v>0.0</v>
      </c>
      <c r="G10" s="7">
        <f t="shared" si="2"/>
        <v>0</v>
      </c>
      <c r="H10" s="6">
        <v>0.0</v>
      </c>
    </row>
    <row r="12">
      <c r="D12" s="1" t="s">
        <v>6</v>
      </c>
    </row>
    <row r="13">
      <c r="D13" s="8" t="s">
        <v>5</v>
      </c>
      <c r="E13" s="8" t="s">
        <v>4</v>
      </c>
    </row>
    <row r="14">
      <c r="C14" s="1">
        <v>0.0</v>
      </c>
      <c r="D14" s="9">
        <v>508.0</v>
      </c>
      <c r="E14" s="9">
        <v>508.0</v>
      </c>
    </row>
    <row r="15">
      <c r="C15" s="1">
        <v>1.0</v>
      </c>
      <c r="D15" s="10">
        <f t="shared" ref="D15:D31" si="3">D14-(508/17)</f>
        <v>478.1176471</v>
      </c>
      <c r="E15" s="9">
        <v>491.0</v>
      </c>
    </row>
    <row r="16">
      <c r="C16" s="1">
        <v>2.0</v>
      </c>
      <c r="D16" s="10">
        <f t="shared" si="3"/>
        <v>448.2352941</v>
      </c>
      <c r="E16" s="9">
        <v>421.0</v>
      </c>
    </row>
    <row r="17">
      <c r="C17" s="1">
        <v>3.0</v>
      </c>
      <c r="D17" s="10">
        <f t="shared" si="3"/>
        <v>418.3529412</v>
      </c>
      <c r="E17" s="9">
        <v>377.0</v>
      </c>
    </row>
    <row r="18">
      <c r="C18" s="1">
        <v>4.0</v>
      </c>
      <c r="D18" s="10">
        <f t="shared" si="3"/>
        <v>388.4705882</v>
      </c>
      <c r="E18" s="9">
        <v>335.0</v>
      </c>
    </row>
    <row r="19">
      <c r="C19" s="1">
        <v>5.0</v>
      </c>
      <c r="D19" s="10">
        <f t="shared" si="3"/>
        <v>358.5882353</v>
      </c>
      <c r="E19" s="9">
        <v>252.0</v>
      </c>
    </row>
    <row r="20">
      <c r="C20" s="1">
        <v>1.0</v>
      </c>
      <c r="D20" s="10">
        <f t="shared" si="3"/>
        <v>328.7058824</v>
      </c>
      <c r="E20" s="9">
        <v>241.0</v>
      </c>
    </row>
    <row r="21">
      <c r="C21" s="1">
        <v>2.0</v>
      </c>
      <c r="D21" s="10">
        <f t="shared" si="3"/>
        <v>298.8235294</v>
      </c>
      <c r="E21" s="9">
        <v>211.0</v>
      </c>
    </row>
    <row r="22">
      <c r="C22" s="1">
        <v>3.0</v>
      </c>
      <c r="D22" s="10">
        <f t="shared" si="3"/>
        <v>268.9411765</v>
      </c>
      <c r="E22" s="9">
        <v>198.0</v>
      </c>
    </row>
    <row r="23">
      <c r="C23" s="1">
        <v>4.0</v>
      </c>
      <c r="D23" s="10">
        <f t="shared" si="3"/>
        <v>239.0588235</v>
      </c>
      <c r="E23" s="9">
        <v>170.0</v>
      </c>
    </row>
    <row r="24">
      <c r="C24" s="1">
        <v>5.0</v>
      </c>
      <c r="D24" s="10">
        <f t="shared" si="3"/>
        <v>209.1764706</v>
      </c>
      <c r="E24" s="9">
        <v>119.0</v>
      </c>
    </row>
    <row r="25">
      <c r="C25" s="1">
        <v>6.0</v>
      </c>
      <c r="D25" s="10">
        <f t="shared" si="3"/>
        <v>179.2941176</v>
      </c>
      <c r="E25" s="9">
        <v>112.0</v>
      </c>
    </row>
    <row r="26">
      <c r="C26" s="1">
        <v>1.0</v>
      </c>
      <c r="D26" s="10">
        <f t="shared" si="3"/>
        <v>149.4117647</v>
      </c>
      <c r="E26" s="9">
        <v>95.0</v>
      </c>
    </row>
    <row r="27">
      <c r="C27" s="1">
        <v>2.0</v>
      </c>
      <c r="D27" s="10">
        <f t="shared" si="3"/>
        <v>119.5294118</v>
      </c>
      <c r="E27" s="9">
        <v>68.0</v>
      </c>
    </row>
    <row r="28">
      <c r="C28" s="1">
        <v>3.0</v>
      </c>
      <c r="D28" s="10">
        <f t="shared" si="3"/>
        <v>89.64705882</v>
      </c>
      <c r="E28" s="9">
        <v>50.0</v>
      </c>
    </row>
    <row r="29">
      <c r="C29" s="1">
        <v>4.0</v>
      </c>
      <c r="D29" s="10">
        <f t="shared" si="3"/>
        <v>59.76470588</v>
      </c>
      <c r="E29" s="9">
        <v>27.0</v>
      </c>
    </row>
    <row r="30">
      <c r="C30" s="1">
        <v>5.0</v>
      </c>
      <c r="D30" s="10">
        <f t="shared" si="3"/>
        <v>29.88235294</v>
      </c>
      <c r="E30" s="9">
        <v>6.0</v>
      </c>
    </row>
    <row r="31">
      <c r="C31" s="1">
        <v>6.0</v>
      </c>
      <c r="D31" s="10">
        <f t="shared" si="3"/>
        <v>0</v>
      </c>
      <c r="E31" s="9">
        <v>0.0</v>
      </c>
    </row>
  </sheetData>
  <drawing r:id="rId1"/>
</worksheet>
</file>